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EXCEL PROJECTS\"/>
    </mc:Choice>
  </mc:AlternateContent>
  <bookViews>
    <workbookView xWindow="0" yWindow="0" windowWidth="20490" windowHeight="7650" activeTab="4"/>
  </bookViews>
  <sheets>
    <sheet name="efficiency" sheetId="2" r:id="rId1"/>
    <sheet name="break" sheetId="1" r:id="rId2"/>
    <sheet name="overall performance" sheetId="3" r:id="rId3"/>
    <sheet name="summary" sheetId="4" r:id="rId4"/>
    <sheet name="dashboard" sheetId="5" r:id="rId5"/>
  </sheets>
  <definedNames>
    <definedName name="break">break!$A$1:$I$11</definedName>
    <definedName name="EDATA">efficiency!$A$1:$L$11</definedName>
    <definedName name="MIDFIND" comment="matlab agr kisi ka mid name nikalna ho tu ">MID(summary!XFD1048576,FIND("_",summary!XFD1048576,1)+1,FIND("(",summary!XFD1048576,1)-FIND("_",summary!XFD1048576,1)-2)</definedName>
    <definedName name="performance">'overall performance'!$A$1:$I$11</definedName>
  </definedNames>
  <calcPr calcId="162913"/>
  <pivotCaches>
    <pivotCache cacheId="9" r:id="rId6"/>
  </pivotCaches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2" i="4"/>
  <c r="F3" i="4"/>
  <c r="F4" i="4"/>
  <c r="F5" i="4"/>
  <c r="F6" i="4"/>
  <c r="F7" i="4"/>
  <c r="F8" i="4"/>
  <c r="F9" i="4"/>
  <c r="F10" i="4"/>
  <c r="F11" i="4"/>
  <c r="F2" i="4"/>
  <c r="E2" i="4"/>
  <c r="E3" i="4"/>
  <c r="E4" i="4"/>
  <c r="E5" i="4"/>
  <c r="E6" i="4"/>
  <c r="E7" i="4"/>
  <c r="E8" i="4"/>
  <c r="E9" i="4"/>
  <c r="E10" i="4"/>
  <c r="E11" i="4"/>
  <c r="D3" i="4"/>
  <c r="D4" i="4"/>
  <c r="D5" i="4"/>
  <c r="D6" i="4"/>
  <c r="D7" i="4"/>
  <c r="D8" i="4"/>
  <c r="D9" i="4"/>
  <c r="D10" i="4"/>
  <c r="D11" i="4"/>
  <c r="D2" i="4"/>
  <c r="C2" i="4"/>
  <c r="C3" i="4"/>
  <c r="C4" i="4"/>
  <c r="C5" i="4"/>
  <c r="C6" i="4"/>
  <c r="C7" i="4"/>
  <c r="C8" i="4"/>
  <c r="C9" i="4"/>
  <c r="C10" i="4"/>
  <c r="C11" i="4"/>
  <c r="B2" i="4"/>
  <c r="B3" i="4"/>
  <c r="B4" i="4"/>
  <c r="B5" i="4"/>
  <c r="B6" i="4"/>
  <c r="B7" i="4"/>
  <c r="B8" i="4"/>
  <c r="B9" i="4"/>
  <c r="B10" i="4"/>
  <c r="B11" i="4"/>
  <c r="A11" i="4"/>
  <c r="A3" i="4"/>
  <c r="A4" i="4"/>
  <c r="A5" i="4"/>
  <c r="A6" i="4"/>
  <c r="A7" i="4"/>
  <c r="A8" i="4"/>
  <c r="A9" i="4"/>
  <c r="A10" i="4"/>
  <c r="A2" i="4"/>
</calcChain>
</file>

<file path=xl/sharedStrings.xml><?xml version="1.0" encoding="utf-8"?>
<sst xmlns="http://schemas.openxmlformats.org/spreadsheetml/2006/main" count="324" uniqueCount="198">
  <si>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</si>
  <si>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</si>
  <si>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</si>
  <si>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</si>
  <si>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</si>
  <si>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</si>
  <si>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</si>
  <si>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</si>
  <si>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</si>
  <si>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Mumbai_Abdul Hamid (1008514)</t>
  </si>
  <si>
    <t>0:55:38</t>
  </si>
  <si>
    <t>0:27:03</t>
  </si>
  <si>
    <t>0:18:23</t>
  </si>
  <si>
    <t>0:16:31</t>
  </si>
  <si>
    <t>0:10:07</t>
  </si>
  <si>
    <t>0:14:08</t>
  </si>
  <si>
    <t>0:06:13</t>
  </si>
  <si>
    <t>2:28:03</t>
  </si>
  <si>
    <t>Delhi_Sara Khan (1008515)</t>
  </si>
  <si>
    <t>0:52:33</t>
  </si>
  <si>
    <t>0:25:26</t>
  </si>
  <si>
    <t>0:08:45</t>
  </si>
  <si>
    <t>0:19:20</t>
  </si>
  <si>
    <t>0:20:12</t>
  </si>
  <si>
    <t>0:04:34</t>
  </si>
  <si>
    <t>0:04:14</t>
  </si>
  <si>
    <t>2:15:04</t>
  </si>
  <si>
    <t>Karachi_Ali Raza (1008516)</t>
  </si>
  <si>
    <t>0:47:36</t>
  </si>
  <si>
    <t>0:17:04</t>
  </si>
  <si>
    <t>0:07:04</t>
  </si>
  <si>
    <t>0:16:11</t>
  </si>
  <si>
    <t>0:22:58</t>
  </si>
  <si>
    <t>0:05:44</t>
  </si>
  <si>
    <t>0:17:10</t>
  </si>
  <si>
    <t>2:13:47</t>
  </si>
  <si>
    <t>Lahore_Ayesha Noor (1008517)</t>
  </si>
  <si>
    <t>0:46:30</t>
  </si>
  <si>
    <t>0:16:20</t>
  </si>
  <si>
    <t>0:06:00</t>
  </si>
  <si>
    <t>0:20:34</t>
  </si>
  <si>
    <t>0:11:27</t>
  </si>
  <si>
    <t>0:02:56</t>
  </si>
  <si>
    <t>0:08:09</t>
  </si>
  <si>
    <t>1:51:56</t>
  </si>
  <si>
    <t>Islamabad_Umar Farooq (1008518)</t>
  </si>
  <si>
    <t>0:57:59</t>
  </si>
  <si>
    <t>0:26:07</t>
  </si>
  <si>
    <t>0:05:01</t>
  </si>
  <si>
    <t>0:00:01</t>
  </si>
  <si>
    <t>0:13:50</t>
  </si>
  <si>
    <t>0:14:53</t>
  </si>
  <si>
    <t>0:13:07</t>
  </si>
  <si>
    <t>2:10:58</t>
  </si>
  <si>
    <t>Chennai_Rahul Das (1008519)</t>
  </si>
  <si>
    <t>0:32:36</t>
  </si>
  <si>
    <t>0:27:33</t>
  </si>
  <si>
    <t>0:11:43</t>
  </si>
  <si>
    <t>0:04:55</t>
  </si>
  <si>
    <t>0:17:15</t>
  </si>
  <si>
    <t>0:12:50</t>
  </si>
  <si>
    <t>0:18:19</t>
  </si>
  <si>
    <t>2:05:11</t>
  </si>
  <si>
    <t>Hyderabad_Fatima Ali (1008520)</t>
  </si>
  <si>
    <t>0:39:39</t>
  </si>
  <si>
    <t>0:31:47</t>
  </si>
  <si>
    <t>0:13:20</t>
  </si>
  <si>
    <t>0:00:39</t>
  </si>
  <si>
    <t>0:04:39</t>
  </si>
  <si>
    <t>0:02:18</t>
  </si>
  <si>
    <t>0:19:21</t>
  </si>
  <si>
    <t>1:51:43</t>
  </si>
  <si>
    <t>Pune_Arjun Mehta (1008521)</t>
  </si>
  <si>
    <t>0:38:35</t>
  </si>
  <si>
    <t>0:34:34</t>
  </si>
  <si>
    <t>0:05:19</t>
  </si>
  <si>
    <t>0:03:29</t>
  </si>
  <si>
    <t>0:22:51</t>
  </si>
  <si>
    <t>0:08:50</t>
  </si>
  <si>
    <t>0:17:16</t>
  </si>
  <si>
    <t>2:10:54</t>
  </si>
  <si>
    <t>Bangalore_Zoya Ahmed (1008522)</t>
  </si>
  <si>
    <t>0:55:35</t>
  </si>
  <si>
    <t>0:25:46</t>
  </si>
  <si>
    <t>0:05:53</t>
  </si>
  <si>
    <t>0:19:39</t>
  </si>
  <si>
    <t>0:06:37</t>
  </si>
  <si>
    <t>0:06:58</t>
  </si>
  <si>
    <t>0:15:55</t>
  </si>
  <si>
    <t>2:16:23</t>
  </si>
  <si>
    <t>Kolkata_Irfan Malik (1008523)</t>
  </si>
  <si>
    <t>0:58:53</t>
  </si>
  <si>
    <t>0:11:15</t>
  </si>
  <si>
    <t>0:16:01</t>
  </si>
  <si>
    <t>0:16:37</t>
  </si>
  <si>
    <t>0:02:19</t>
  </si>
  <si>
    <t>0:02:11</t>
  </si>
  <si>
    <t>0:10:52</t>
  </si>
  <si>
    <t>1:58:08</t>
  </si>
  <si>
    <t>total working hours</t>
  </si>
  <si>
    <t>attended calls</t>
  </si>
  <si>
    <t>active with customer in percentage</t>
  </si>
  <si>
    <t>active time in percentage</t>
  </si>
  <si>
    <t>other in percentage</t>
  </si>
  <si>
    <t>not working in percentage</t>
  </si>
  <si>
    <t>call keeping in percentage</t>
  </si>
  <si>
    <t>break during calls in percentage</t>
  </si>
  <si>
    <t>non break in percentage</t>
  </si>
  <si>
    <t>6:51:23</t>
  </si>
  <si>
    <t>76%</t>
  </si>
  <si>
    <t>68%</t>
  </si>
  <si>
    <t>14%</t>
  </si>
  <si>
    <t>3%</t>
  </si>
  <si>
    <t>0%</t>
  </si>
  <si>
    <t>5%</t>
  </si>
  <si>
    <t>88%</t>
  </si>
  <si>
    <t>8:01:54</t>
  </si>
  <si>
    <t>66%</t>
  </si>
  <si>
    <t>75%</t>
  </si>
  <si>
    <t>12%</t>
  </si>
  <si>
    <t>6%</t>
  </si>
  <si>
    <t>2%</t>
  </si>
  <si>
    <t>81%</t>
  </si>
  <si>
    <t>7:13:08</t>
  </si>
  <si>
    <t>84%</t>
  </si>
  <si>
    <t>70%</t>
  </si>
  <si>
    <t>11%</t>
  </si>
  <si>
    <t>9%</t>
  </si>
  <si>
    <t>94%</t>
  </si>
  <si>
    <t>8:56:22</t>
  </si>
  <si>
    <t>86%</t>
  </si>
  <si>
    <t>4%</t>
  </si>
  <si>
    <t>100%</t>
  </si>
  <si>
    <t>7:56:00</t>
  </si>
  <si>
    <t>1%</t>
  </si>
  <si>
    <t>10%</t>
  </si>
  <si>
    <t>80%</t>
  </si>
  <si>
    <t>8:51:41</t>
  </si>
  <si>
    <t>91%</t>
  </si>
  <si>
    <t>73%</t>
  </si>
  <si>
    <t>8:38:06</t>
  </si>
  <si>
    <t>8%</t>
  </si>
  <si>
    <t>8:08:07</t>
  </si>
  <si>
    <t>7%</t>
  </si>
  <si>
    <t>6:07:09</t>
  </si>
  <si>
    <t>90%</t>
  </si>
  <si>
    <t>8:19:49</t>
  </si>
  <si>
    <t>employees</t>
  </si>
  <si>
    <t>% of calls on hold</t>
  </si>
  <si>
    <t>average duration of calls in time</t>
  </si>
  <si>
    <t>average in focus hold calls in time</t>
  </si>
  <si>
    <t>13%</t>
  </si>
  <si>
    <t>0:02:30</t>
  </si>
  <si>
    <t>0:05:33</t>
  </si>
  <si>
    <t>0:10:10</t>
  </si>
  <si>
    <t>0:09:40</t>
  </si>
  <si>
    <t>16%</t>
  </si>
  <si>
    <t>0:09:12</t>
  </si>
  <si>
    <t>0:08:18</t>
  </si>
  <si>
    <t>21%</t>
  </si>
  <si>
    <t>0:14:14</t>
  </si>
  <si>
    <t>0:06:23</t>
  </si>
  <si>
    <t>20%</t>
  </si>
  <si>
    <t>0:05:45</t>
  </si>
  <si>
    <t>0:11:50</t>
  </si>
  <si>
    <t>0:05:25</t>
  </si>
  <si>
    <t>0:11:28</t>
  </si>
  <si>
    <t>0:04:16</t>
  </si>
  <si>
    <t>0:14:29</t>
  </si>
  <si>
    <t>23%</t>
  </si>
  <si>
    <t>0:10:56</t>
  </si>
  <si>
    <t>0:07:54</t>
  </si>
  <si>
    <t>0:08:52</t>
  </si>
  <si>
    <t>0:05:29</t>
  </si>
  <si>
    <t xml:space="preserve">transferred calls </t>
  </si>
  <si>
    <t xml:space="preserve">call conferenced </t>
  </si>
  <si>
    <t xml:space="preserve">call redirected </t>
  </si>
  <si>
    <t xml:space="preserve">hold calls </t>
  </si>
  <si>
    <t>Empolyee Name</t>
  </si>
  <si>
    <t>Total Number of working hours</t>
  </si>
  <si>
    <t>Work Efficiency</t>
  </si>
  <si>
    <t>Total Taken Break</t>
  </si>
  <si>
    <t xml:space="preserve">Attended calls </t>
  </si>
  <si>
    <t>active with Customer</t>
  </si>
  <si>
    <t xml:space="preserve"> </t>
  </si>
  <si>
    <t>work efficiency</t>
  </si>
  <si>
    <t>Row Labels</t>
  </si>
  <si>
    <t>Rahul Das</t>
  </si>
  <si>
    <t>Fatima Ali</t>
  </si>
  <si>
    <t>Irfan Malik</t>
  </si>
  <si>
    <t>Ayesha Noor</t>
  </si>
  <si>
    <t>Arjun Mehta</t>
  </si>
  <si>
    <t xml:space="preserve">Empolyee </t>
  </si>
  <si>
    <t>Emp Total Number of working hours</t>
  </si>
  <si>
    <t>REPORT 1 WORKING HOURS</t>
  </si>
  <si>
    <t>Umar Farooq</t>
  </si>
  <si>
    <t>Zoya Ahmed</t>
  </si>
  <si>
    <t>Sum of active with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</si>
</sst>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Arial Black"/>
      <family val="2"/>
    </font>
    <font>
      <sz val="11"/>
      <color theme="5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3" fillId="2" borderId="0" xfId="0" applyFont="1" applyFill="1"/>
    <xf numFmtId="164" fontId="0" fillId="0" borderId="0" xfId="0" applyNumberFormat="1"/>
    <xf numFmtId="0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2" fillId="5" borderId="0" xfId="0" applyFont="1" applyFill="1"/>
    <xf numFmtId="0" fontId="4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10" fontId="0" fillId="0" borderId="0" xfId="0" applyNumberForma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[Call_Center_Report.xlsm]dashboard!PivotTable2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3.0555555555555555E-2"/>
          <c:y val="0.13930348258706468"/>
          <c:w val="0.93888888888888888"/>
          <c:h val="0.549069351405701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Arjun Mehta</c:v>
                </c:pt>
                <c:pt idx="1">
                  <c:v>Ayesha Noor</c:v>
                </c:pt>
                <c:pt idx="2">
                  <c:v>Fatima Ali</c:v>
                </c:pt>
                <c:pt idx="3">
                  <c:v>Irfan Malik</c:v>
                </c:pt>
                <c:pt idx="4">
                  <c:v>Rahul Das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0.33896990740740746</c:v>
                </c:pt>
                <c:pt idx="1">
                  <c:v>0.37247685185185181</c:v>
                </c:pt>
                <c:pt idx="2">
                  <c:v>0.35979166666666668</c:v>
                </c:pt>
                <c:pt idx="3">
                  <c:v>0.34709490740740739</c:v>
                </c:pt>
                <c:pt idx="4">
                  <c:v>0.36922453703703706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F-43B4-A621-59A3AE619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7808104"/>
        <c:axId val="467808432"/>
      </c:barChart>
      <c:catAx>
        <c:axId val="467808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808432"/>
        <c:crosses val="autoZero"/>
        <c:auto val="1"/>
        <c:lblAlgn val="ctr"/>
        <c:lblOffset val="100"/>
        <c:noMultiLvlLbl val="0"/>
      </c:catAx>
      <c:valAx>
        <c:axId val="46780843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4678081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[Call_Center_Report.xlsm]dashboard!PivotTable1</c:name>
    <c:fmtId val="1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dashboard!$D$5:$D$9</c:f>
              <c:strCache>
                <c:ptCount val="5"/>
                <c:pt idx="0">
                  <c:v>Fatima Ali</c:v>
                </c:pt>
                <c:pt idx="1">
                  <c:v>Irfan Malik</c:v>
                </c:pt>
                <c:pt idx="2">
                  <c:v>Rahul Das</c:v>
                </c:pt>
                <c:pt idx="3">
                  <c:v>Umar Farooq</c:v>
                </c:pt>
                <c:pt idx="4">
                  <c:v>Zoya Ahmed</c:v>
                </c:pt>
              </c:strCache>
            </c:strRef>
          </c:cat>
          <c:val>
            <c:numRef>
              <c:f>dashboard!$E$5:$E$9</c:f>
              <c:numCache>
                <c:formatCode>0.00%</c:formatCode>
                <c:ptCount val="5"/>
                <c:pt idx="0">
                  <c:v>6</c:v>
                </c:pt>
                <c:pt idx="1">
                  <c:v>10</c:v>
                </c:pt>
                <c:pt idx="2">
                  <c:v>7</c:v>
                </c:pt>
                <c:pt idx="3">
                  <c:v>5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7-4D51-95C4-442B067A4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30000" min="1" page="10" val="5"/>
</file>

<file path=xl/ctrlProps/ctrlProp2.xml><?xml version="1.0" encoding="utf-8"?>
<formControlPr xmlns="http://schemas.microsoft.com/office/spreadsheetml/2009/9/main" objectType="Spin" dx="22" fmlaLink="$C$1" max="30000" min="1" page="10" val="5"/>
</file>

<file path=xl/ctrlProps/ctrlProp3.xml><?xml version="1.0" encoding="utf-8"?>
<formControlPr xmlns="http://schemas.microsoft.com/office/spreadsheetml/2009/9/main" objectType="Spin" dx="22" fmlaLink="$C$2" max="30000" min="1" page="10" val="5"/>
</file>

<file path=xl/ctrlProps/ctrlProp4.xml><?xml version="1.0" encoding="utf-8"?>
<formControlPr xmlns="http://schemas.microsoft.com/office/spreadsheetml/2009/9/main" objectType="Spin" dx="22" fmlaLink="$C$2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609601</xdr:colOff>
      <xdr:row>0</xdr:row>
      <xdr:rowOff>47625</xdr:rowOff>
    </xdr:from>
    <xdr:to>
      <xdr:col>1</xdr:col>
      <xdr:colOff>1485901</xdr:colOff>
      <xdr:row>1</xdr:row>
      <xdr:rowOff>140970</xdr:rowOff>
    </xdr:to>
    <xdr:sp macro="" textlink="$C$1">
      <xdr:nvSpPr>
        <xdr:cNvPr id="7" name="Rounded Rectangle 6"/>
        <xdr:cNvSpPr/>
      </xdr:nvSpPr>
      <xdr:spPr>
        <a:xfrm>
          <a:off x="1485901" y="47625"/>
          <a:ext cx="876300" cy="283845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6E7FCA43-4871-442C-AAC1-2A781CD48F3C}" type="TxLink">
            <a:rPr lang="en-US" sz="1100" b="0" i="0" u="none" strike="noStrike">
              <a:solidFill>
                <a:srgbClr val="000000"/>
              </a:solidFill>
              <a:latin typeface="Algerian" panose="04020705040A02060702" pitchFamily="82" charset="0"/>
              <a:cs typeface="Calibri"/>
            </a:rPr>
            <a:pPr algn="r"/>
            <a:t>5</a:t>
          </a:fld>
          <a:endParaRPr lang="en-US" sz="1100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9</xdr:row>
      <xdr:rowOff>9525</xdr:rowOff>
    </xdr:from>
    <xdr:to>
      <xdr:col>2</xdr:col>
      <xdr:colOff>19050</xdr:colOff>
      <xdr:row>17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57150</xdr:rowOff>
    </xdr:from>
    <xdr:to>
      <xdr:col>0</xdr:col>
      <xdr:colOff>857250</xdr:colOff>
      <xdr:row>1</xdr:row>
      <xdr:rowOff>114300</xdr:rowOff>
    </xdr:to>
    <xdr:sp macro="" textlink="">
      <xdr:nvSpPr>
        <xdr:cNvPr id="4" name="Right Arrow 3"/>
        <xdr:cNvSpPr/>
      </xdr:nvSpPr>
      <xdr:spPr>
        <a:xfrm>
          <a:off x="28575" y="57150"/>
          <a:ext cx="828675" cy="247650"/>
        </a:xfrm>
        <a:prstGeom prst="rightArrow">
          <a:avLst>
            <a:gd name="adj1" fmla="val 100000"/>
            <a:gd name="adj2" fmla="val 9370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accent2"/>
              </a:solidFill>
            </a:rPr>
            <a:t>Chart</a:t>
          </a:r>
        </a:p>
      </xdr:txBody>
    </xdr:sp>
    <xdr:clientData/>
  </xdr:twoCellAnchor>
  <xdr:twoCellAnchor editAs="oneCell">
    <xdr:from>
      <xdr:col>1</xdr:col>
      <xdr:colOff>38101</xdr:colOff>
      <xdr:row>0</xdr:row>
      <xdr:rowOff>19050</xdr:rowOff>
    </xdr:from>
    <xdr:to>
      <xdr:col>1</xdr:col>
      <xdr:colOff>581025</xdr:colOff>
      <xdr:row>2</xdr:row>
      <xdr:rowOff>0</xdr:rowOff>
    </xdr:to>
    <xdr:pic macro="[0]!Show_Chart1"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1" y="19050"/>
          <a:ext cx="542924" cy="36195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1</xdr:col>
          <xdr:colOff>952500</xdr:colOff>
          <xdr:row>1</xdr:row>
          <xdr:rowOff>104775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1533525</xdr:colOff>
      <xdr:row>0</xdr:row>
      <xdr:rowOff>57150</xdr:rowOff>
    </xdr:from>
    <xdr:to>
      <xdr:col>1</xdr:col>
      <xdr:colOff>2209800</xdr:colOff>
      <xdr:row>1</xdr:row>
      <xdr:rowOff>114300</xdr:rowOff>
    </xdr:to>
    <xdr:sp macro="" textlink="">
      <xdr:nvSpPr>
        <xdr:cNvPr id="9" name="Right Arrow 8"/>
        <xdr:cNvSpPr/>
      </xdr:nvSpPr>
      <xdr:spPr>
        <a:xfrm flipH="1">
          <a:off x="2409825" y="57150"/>
          <a:ext cx="676275" cy="247650"/>
        </a:xfrm>
        <a:prstGeom prst="rightArrow">
          <a:avLst>
            <a:gd name="adj1" fmla="val 100000"/>
            <a:gd name="adj2" fmla="val 9370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accent2"/>
              </a:solidFill>
            </a:rPr>
            <a:t>RC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2076450</xdr:colOff>
          <xdr:row>9</xdr:row>
          <xdr:rowOff>47625</xdr:rowOff>
        </xdr:from>
        <xdr:to>
          <xdr:col>1</xdr:col>
          <xdr:colOff>2200275</xdr:colOff>
          <xdr:row>10</xdr:row>
          <xdr:rowOff>95250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38105</xdr:colOff>
      <xdr:row>0</xdr:row>
      <xdr:rowOff>19047</xdr:rowOff>
    </xdr:from>
    <xdr:to>
      <xdr:col>1</xdr:col>
      <xdr:colOff>577601</xdr:colOff>
      <xdr:row>2</xdr:row>
      <xdr:rowOff>0</xdr:rowOff>
    </xdr:to>
    <xdr:pic macro="[0]!Hide_Chart1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5" y="19047"/>
          <a:ext cx="539496" cy="361953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twoCellAnchor>
  <xdr:twoCellAnchor>
    <xdr:from>
      <xdr:col>4</xdr:col>
      <xdr:colOff>619126</xdr:colOff>
      <xdr:row>0</xdr:row>
      <xdr:rowOff>57150</xdr:rowOff>
    </xdr:from>
    <xdr:to>
      <xdr:col>4</xdr:col>
      <xdr:colOff>1495426</xdr:colOff>
      <xdr:row>1</xdr:row>
      <xdr:rowOff>150495</xdr:rowOff>
    </xdr:to>
    <xdr:sp macro="" textlink="$C$2">
      <xdr:nvSpPr>
        <xdr:cNvPr id="10" name="Rounded Rectangle 9"/>
        <xdr:cNvSpPr/>
      </xdr:nvSpPr>
      <xdr:spPr>
        <a:xfrm>
          <a:off x="5286376" y="57150"/>
          <a:ext cx="876300" cy="283845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6A2432A9-06BB-459C-992A-85EBAB186E44}" type="TxLink">
            <a:rPr lang="en-US" sz="1100" b="0" i="0" u="none" strike="noStrike">
              <a:solidFill>
                <a:srgbClr val="000000"/>
              </a:solidFill>
              <a:latin typeface="Algerian" panose="04020705040A02060702" pitchFamily="82" charset="0"/>
              <a:cs typeface="Calibri"/>
            </a:rPr>
            <a:t>5</a:t>
          </a:fld>
          <a:endParaRPr lang="en-US" sz="1100">
            <a:latin typeface="Algerian" panose="04020705040A02060702" pitchFamily="82" charset="0"/>
          </a:endParaRPr>
        </a:p>
      </xdr:txBody>
    </xdr:sp>
    <xdr:clientData/>
  </xdr:twoCellAnchor>
  <xdr:twoCellAnchor>
    <xdr:from>
      <xdr:col>3</xdr:col>
      <xdr:colOff>28575</xdr:colOff>
      <xdr:row>0</xdr:row>
      <xdr:rowOff>57150</xdr:rowOff>
    </xdr:from>
    <xdr:to>
      <xdr:col>3</xdr:col>
      <xdr:colOff>857250</xdr:colOff>
      <xdr:row>1</xdr:row>
      <xdr:rowOff>114300</xdr:rowOff>
    </xdr:to>
    <xdr:sp macro="" textlink="">
      <xdr:nvSpPr>
        <xdr:cNvPr id="11" name="Right Arrow 10"/>
        <xdr:cNvSpPr/>
      </xdr:nvSpPr>
      <xdr:spPr>
        <a:xfrm>
          <a:off x="28575" y="57150"/>
          <a:ext cx="828675" cy="247650"/>
        </a:xfrm>
        <a:prstGeom prst="rightArrow">
          <a:avLst>
            <a:gd name="adj1" fmla="val 100000"/>
            <a:gd name="adj2" fmla="val 9370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accent2"/>
              </a:solidFill>
            </a:rPr>
            <a:t>Chart</a:t>
          </a:r>
        </a:p>
      </xdr:txBody>
    </xdr:sp>
    <xdr:clientData/>
  </xdr:twoCellAnchor>
  <xdr:oneCellAnchor>
    <xdr:from>
      <xdr:col>4</xdr:col>
      <xdr:colOff>28576</xdr:colOff>
      <xdr:row>0</xdr:row>
      <xdr:rowOff>0</xdr:rowOff>
    </xdr:from>
    <xdr:ext cx="542924" cy="361950"/>
    <xdr:pic macro="[0]!Show_Chart2">
      <xdr:nvPicPr>
        <xdr:cNvPr id="12" name="Picture 11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5826" y="0"/>
          <a:ext cx="542924" cy="36195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oneCellAnchor>
  <xdr:oneCellAnchor>
    <xdr:from>
      <xdr:col>4</xdr:col>
      <xdr:colOff>28580</xdr:colOff>
      <xdr:row>0</xdr:row>
      <xdr:rowOff>19050</xdr:rowOff>
    </xdr:from>
    <xdr:ext cx="539496" cy="361953"/>
    <xdr:pic macro="[0]!Hide_Chart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5830" y="19050"/>
          <a:ext cx="539496" cy="361953"/>
        </a:xfrm>
        <a:prstGeom prst="rect">
          <a:avLst/>
        </a:prstGeom>
        <a:ln>
          <a:solidFill>
            <a:schemeClr val="accent2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0</xdr:row>
          <xdr:rowOff>85725</xdr:rowOff>
        </xdr:from>
        <xdr:to>
          <xdr:col>4</xdr:col>
          <xdr:colOff>1133475</xdr:colOff>
          <xdr:row>1</xdr:row>
          <xdr:rowOff>114300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1533525</xdr:colOff>
      <xdr:row>0</xdr:row>
      <xdr:rowOff>57150</xdr:rowOff>
    </xdr:from>
    <xdr:to>
      <xdr:col>4</xdr:col>
      <xdr:colOff>2209800</xdr:colOff>
      <xdr:row>1</xdr:row>
      <xdr:rowOff>114300</xdr:rowOff>
    </xdr:to>
    <xdr:sp macro="" textlink="">
      <xdr:nvSpPr>
        <xdr:cNvPr id="15" name="Right Arrow 14"/>
        <xdr:cNvSpPr/>
      </xdr:nvSpPr>
      <xdr:spPr>
        <a:xfrm flipH="1">
          <a:off x="2409825" y="57150"/>
          <a:ext cx="676275" cy="247650"/>
        </a:xfrm>
        <a:prstGeom prst="rightArrow">
          <a:avLst>
            <a:gd name="adj1" fmla="val 100000"/>
            <a:gd name="adj2" fmla="val 9370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accent2"/>
              </a:solidFill>
            </a:rPr>
            <a:t>RC</a:t>
          </a:r>
        </a:p>
      </xdr:txBody>
    </xdr:sp>
    <xdr:clientData/>
  </xdr:twoCellAnchor>
  <xdr:twoCellAnchor>
    <xdr:from>
      <xdr:col>2</xdr:col>
      <xdr:colOff>295275</xdr:colOff>
      <xdr:row>9</xdr:row>
      <xdr:rowOff>9525</xdr:rowOff>
    </xdr:from>
    <xdr:to>
      <xdr:col>5</xdr:col>
      <xdr:colOff>142875</xdr:colOff>
      <xdr:row>17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2133600</xdr:colOff>
          <xdr:row>9</xdr:row>
          <xdr:rowOff>28575</xdr:rowOff>
        </xdr:from>
        <xdr:to>
          <xdr:col>5</xdr:col>
          <xdr:colOff>104775</xdr:colOff>
          <xdr:row>10</xdr:row>
          <xdr:rowOff>57150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hsan Ali" refreshedDate="46082.931196874997" createdVersion="6" refreshedVersion="6" minRefreshableVersion="3" recordCount="10">
  <cacheSource type="worksheet">
    <worksheetSource ref="A1:G11" sheet="summary"/>
  </cacheSource>
  <cacheFields count="7">
    <cacheField name="Empolyee " numFmtId="0">
      <sharedItems/>
    </cacheField>
    <cacheField name="Empolyee Name" numFmtId="0">
      <sharedItems count="10">
        <s v="Abdul Hamid"/>
        <s v="Sara Khan"/>
        <s v="Ali Raza"/>
        <s v="Ayesha Noor"/>
        <s v="Umar Farooq"/>
        <s v="Rahul Das"/>
        <s v="Fatima Ali"/>
        <s v="Arjun Mehta"/>
        <s v="Zoya Ahmed"/>
        <s v="Irfan Malik"/>
      </sharedItems>
    </cacheField>
    <cacheField name="Total Number of working hours" numFmtId="164">
      <sharedItems containsSemiMixedTypes="0" containsNonDate="0" containsDate="1" containsString="0" minDate="1899-12-30T06:07:09" maxDate="1899-12-30T08:56:22"/>
    </cacheField>
    <cacheField name="Work Efficiency" numFmtId="0">
      <sharedItems/>
    </cacheField>
    <cacheField name="Total Taken Break" numFmtId="164">
      <sharedItems containsSemiMixedTypes="0" containsNonDate="0" containsDate="1" containsString="0" minDate="1899-12-30T01:51:43" maxDate="1899-12-30T02:28:03"/>
    </cacheField>
    <cacheField name="Attended calls " numFmtId="9">
      <sharedItems containsSemiMixedTypes="0" containsString="0" containsNumber="1" containsInteger="1" minValue="55" maxValue="175"/>
    </cacheField>
    <cacheField name="active with Customer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s v="Mumbai_Abdul Hamid (1008514)"/>
    <x v="0"/>
    <d v="1899-12-30T06:51:23"/>
    <s v="76%"/>
    <d v="1899-12-30T02:28:03"/>
    <n v="55"/>
    <n v="1"/>
  </r>
  <r>
    <s v="Delhi_Sara Khan (1008515)"/>
    <x v="1"/>
    <d v="1899-12-30T08:01:54"/>
    <s v="76%"/>
    <d v="1899-12-30T02:15:04"/>
    <n v="87"/>
    <n v="2"/>
  </r>
  <r>
    <s v="Karachi_Ali Raza (1008516)"/>
    <x v="2"/>
    <d v="1899-12-30T07:13:08"/>
    <s v="76%"/>
    <d v="1899-12-30T02:13:47"/>
    <n v="115"/>
    <n v="3"/>
  </r>
  <r>
    <s v="Lahore_Ayesha Noor (1008517)"/>
    <x v="3"/>
    <d v="1899-12-30T08:56:22"/>
    <s v="76%"/>
    <d v="1899-12-30T01:51:56"/>
    <n v="114"/>
    <n v="4"/>
  </r>
  <r>
    <s v="Islamabad_Umar Farooq (1008518)"/>
    <x v="4"/>
    <d v="1899-12-30T07:56:00"/>
    <s v="76%"/>
    <d v="1899-12-30T02:10:58"/>
    <n v="153"/>
    <n v="5"/>
  </r>
  <r>
    <s v="Chennai_Rahul Das (1008519)"/>
    <x v="5"/>
    <d v="1899-12-30T08:51:41"/>
    <s v="76%"/>
    <d v="1899-12-30T02:05:11"/>
    <n v="117"/>
    <n v="7"/>
  </r>
  <r>
    <s v="Hyderabad_Fatima Ali (1008520)"/>
    <x v="6"/>
    <d v="1899-12-30T08:38:06"/>
    <s v="76%"/>
    <d v="1899-12-30T01:51:43"/>
    <n v="58"/>
    <n v="6"/>
  </r>
  <r>
    <s v="Pune_Arjun Mehta (1008521)"/>
    <x v="7"/>
    <d v="1899-12-30T08:08:07"/>
    <s v="76%"/>
    <d v="1899-12-30T02:10:54"/>
    <n v="175"/>
    <n v="4"/>
  </r>
  <r>
    <s v="Bangalore_Zoya Ahmed (1008522)"/>
    <x v="8"/>
    <d v="1899-12-30T06:07:09"/>
    <s v="76%"/>
    <d v="1899-12-30T02:16:23"/>
    <n v="116"/>
    <n v="8"/>
  </r>
  <r>
    <s v="Kolkata_Irfan Malik (1008523)"/>
    <x v="9"/>
    <d v="1899-12-30T08:19:49"/>
    <s v="76%"/>
    <d v="1899-12-30T01:58:08"/>
    <n v="113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D4:E9" firstHeaderRow="1" firstDataRow="1" firstDataCol="1"/>
  <pivotFields count="7">
    <pivotField showAll="0"/>
    <pivotField axis="axisRow" showAll="0" measureFilter="1">
      <items count="11">
        <item x="0"/>
        <item x="2"/>
        <item x="7"/>
        <item x="3"/>
        <item x="6"/>
        <item x="9"/>
        <item x="5"/>
        <item x="1"/>
        <item x="4"/>
        <item x="8"/>
        <item t="default"/>
      </items>
    </pivotField>
    <pivotField numFmtId="164" showAll="0"/>
    <pivotField showAll="0"/>
    <pivotField numFmtId="164" showAll="0"/>
    <pivotField numFmtId="9" showAll="0"/>
    <pivotField dataField="1" showAll="0"/>
  </pivotFields>
  <rowFields count="1">
    <field x="1"/>
  </rowFields>
  <rowItems count="5">
    <i>
      <x v="4"/>
    </i>
    <i>
      <x v="5"/>
    </i>
    <i>
      <x v="6"/>
    </i>
    <i>
      <x v="8"/>
    </i>
    <i>
      <x v="9"/>
    </i>
  </rowItems>
  <colItems count="1">
    <i/>
  </colItems>
  <dataFields count="1">
    <dataField name="Sum of active with Customer" fld="6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0" showRowHeaders="1" showColHeaders="1" showRowStripes="0" showColStripes="0" showLastColumn="1"/>
  <filters count="1">
    <filter fld="1" type="count" evalOrder="-1" id="12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A4:B9" firstHeaderRow="1" firstDataRow="1" firstDataCol="1"/>
  <pivotFields count="7">
    <pivotField showAll="0"/>
    <pivotField axis="axisRow" showAll="0" measureFilter="1">
      <items count="11">
        <item x="0"/>
        <item x="2"/>
        <item x="7"/>
        <item x="3"/>
        <item x="6"/>
        <item x="9"/>
        <item x="5"/>
        <item x="1"/>
        <item x="4"/>
        <item x="8"/>
        <item t="default"/>
      </items>
    </pivotField>
    <pivotField dataField="1" numFmtId="164" showAll="0"/>
    <pivotField showAll="0"/>
    <pivotField numFmtId="164" showAll="0"/>
    <pivotField numFmtId="9" showAll="0"/>
    <pivotField showAll="0"/>
  </pivotFields>
  <rowFields count="1">
    <field x="1"/>
  </rowFields>
  <rowItems count="5">
    <i>
      <x v="2"/>
    </i>
    <i>
      <x v="3"/>
    </i>
    <i>
      <x v="4"/>
    </i>
    <i>
      <x v="5"/>
    </i>
    <i>
      <x v="6"/>
    </i>
  </rowItems>
  <colItems count="1">
    <i/>
  </colItems>
  <dataFields count="1">
    <dataField name="Emp Total Number of working hours" fld="2" baseField="1" baseItem="2" numFmtId="164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0" showRowHeaders="1" showColHeaders="1" showRowStripes="0" showColStripes="0" showLastColumn="1"/>
  <filters count="1">
    <filter fld="1" type="count" evalOrder="-1" id="10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E14" sqref="E14"/>
    </sheetView>
  </sheetViews>
  <sheetFormatPr defaultRowHeight="15" x14ac:dyDescent="0.25"/>
  <cols>
    <col min="1" max="1" width="31.85546875" bestFit="1" customWidth="1"/>
    <col min="2" max="2" width="18.42578125" bestFit="1" customWidth="1"/>
    <col min="3" max="3" width="13.5703125" bestFit="1" customWidth="1"/>
    <col min="4" max="4" width="22.7109375" bestFit="1" customWidth="1"/>
    <col min="5" max="5" width="32.7109375" bestFit="1" customWidth="1"/>
    <col min="6" max="6" width="23.85546875" bestFit="1" customWidth="1"/>
    <col min="7" max="7" width="18.7109375" bestFit="1" customWidth="1"/>
    <col min="8" max="9" width="24.5703125" bestFit="1" customWidth="1"/>
    <col min="10" max="10" width="29.7109375" bestFit="1" customWidth="1"/>
    <col min="11" max="11" width="24.5703125" bestFit="1" customWidth="1"/>
    <col min="12" max="12" width="22.85546875" bestFit="1" customWidth="1"/>
  </cols>
  <sheetData>
    <row r="1" spans="1:12" x14ac:dyDescent="0.25">
      <c r="A1" t="s">
        <v>0</v>
      </c>
      <c r="B1" t="s">
        <v>99</v>
      </c>
      <c r="C1" t="s">
        <v>100</v>
      </c>
      <c r="D1" t="s">
        <v>185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105</v>
      </c>
      <c r="L1" t="s">
        <v>107</v>
      </c>
    </row>
    <row r="2" spans="1:12" x14ac:dyDescent="0.25">
      <c r="A2" t="s">
        <v>9</v>
      </c>
      <c r="B2" t="s">
        <v>108</v>
      </c>
      <c r="C2">
        <v>194</v>
      </c>
      <c r="D2" t="s">
        <v>109</v>
      </c>
      <c r="E2">
        <v>1</v>
      </c>
      <c r="F2" t="s">
        <v>110</v>
      </c>
      <c r="G2" t="s">
        <v>111</v>
      </c>
      <c r="H2" t="s">
        <v>112</v>
      </c>
      <c r="I2" t="s">
        <v>112</v>
      </c>
      <c r="J2" t="s">
        <v>113</v>
      </c>
      <c r="K2" t="s">
        <v>114</v>
      </c>
      <c r="L2" t="s">
        <v>115</v>
      </c>
    </row>
    <row r="3" spans="1:12" x14ac:dyDescent="0.25">
      <c r="A3" t="s">
        <v>18</v>
      </c>
      <c r="B3" t="s">
        <v>116</v>
      </c>
      <c r="C3">
        <v>73</v>
      </c>
      <c r="D3" t="s">
        <v>109</v>
      </c>
      <c r="E3">
        <v>2</v>
      </c>
      <c r="F3" t="s">
        <v>118</v>
      </c>
      <c r="G3" t="s">
        <v>119</v>
      </c>
      <c r="H3" t="s">
        <v>120</v>
      </c>
      <c r="I3" t="s">
        <v>114</v>
      </c>
      <c r="J3" t="s">
        <v>121</v>
      </c>
      <c r="K3" t="s">
        <v>114</v>
      </c>
      <c r="L3" t="s">
        <v>122</v>
      </c>
    </row>
    <row r="4" spans="1:12" x14ac:dyDescent="0.25">
      <c r="A4" t="s">
        <v>27</v>
      </c>
      <c r="B4" t="s">
        <v>123</v>
      </c>
      <c r="C4">
        <v>169</v>
      </c>
      <c r="D4" t="s">
        <v>109</v>
      </c>
      <c r="E4">
        <v>3</v>
      </c>
      <c r="F4" t="s">
        <v>125</v>
      </c>
      <c r="G4" t="s">
        <v>126</v>
      </c>
      <c r="H4" t="s">
        <v>112</v>
      </c>
      <c r="I4" t="s">
        <v>127</v>
      </c>
      <c r="J4" t="s">
        <v>121</v>
      </c>
      <c r="K4" t="s">
        <v>127</v>
      </c>
      <c r="L4" t="s">
        <v>128</v>
      </c>
    </row>
    <row r="5" spans="1:12" x14ac:dyDescent="0.25">
      <c r="A5" t="s">
        <v>36</v>
      </c>
      <c r="B5" t="s">
        <v>129</v>
      </c>
      <c r="C5">
        <v>119</v>
      </c>
      <c r="D5" t="s">
        <v>109</v>
      </c>
      <c r="E5">
        <v>4</v>
      </c>
      <c r="F5" t="s">
        <v>130</v>
      </c>
      <c r="G5" t="s">
        <v>126</v>
      </c>
      <c r="H5" t="s">
        <v>131</v>
      </c>
      <c r="I5" t="s">
        <v>114</v>
      </c>
      <c r="J5" t="s">
        <v>121</v>
      </c>
      <c r="K5" t="s">
        <v>131</v>
      </c>
      <c r="L5" t="s">
        <v>132</v>
      </c>
    </row>
    <row r="6" spans="1:12" x14ac:dyDescent="0.25">
      <c r="A6" t="s">
        <v>45</v>
      </c>
      <c r="B6" t="s">
        <v>133</v>
      </c>
      <c r="C6">
        <v>66</v>
      </c>
      <c r="D6" t="s">
        <v>109</v>
      </c>
      <c r="E6">
        <v>5</v>
      </c>
      <c r="F6" t="s">
        <v>117</v>
      </c>
      <c r="G6" t="s">
        <v>120</v>
      </c>
      <c r="H6" t="s">
        <v>134</v>
      </c>
      <c r="I6" t="s">
        <v>135</v>
      </c>
      <c r="J6" t="s">
        <v>112</v>
      </c>
      <c r="K6" t="s">
        <v>131</v>
      </c>
      <c r="L6" t="s">
        <v>136</v>
      </c>
    </row>
    <row r="7" spans="1:12" x14ac:dyDescent="0.25">
      <c r="A7" t="s">
        <v>54</v>
      </c>
      <c r="B7" t="s">
        <v>137</v>
      </c>
      <c r="C7">
        <v>178</v>
      </c>
      <c r="D7" t="s">
        <v>109</v>
      </c>
      <c r="E7" s="3">
        <v>7</v>
      </c>
      <c r="F7" t="s">
        <v>139</v>
      </c>
      <c r="G7" t="s">
        <v>134</v>
      </c>
      <c r="H7" t="s">
        <v>114</v>
      </c>
      <c r="I7" t="s">
        <v>112</v>
      </c>
      <c r="J7" t="s">
        <v>112</v>
      </c>
      <c r="K7" t="s">
        <v>127</v>
      </c>
      <c r="L7" t="s">
        <v>124</v>
      </c>
    </row>
    <row r="8" spans="1:12" x14ac:dyDescent="0.25">
      <c r="A8" t="s">
        <v>63</v>
      </c>
      <c r="B8" t="s">
        <v>140</v>
      </c>
      <c r="C8">
        <v>162</v>
      </c>
      <c r="D8" t="s">
        <v>109</v>
      </c>
      <c r="E8">
        <v>6</v>
      </c>
      <c r="F8" t="s">
        <v>124</v>
      </c>
      <c r="G8" t="s">
        <v>141</v>
      </c>
      <c r="H8" t="s">
        <v>131</v>
      </c>
      <c r="I8" t="s">
        <v>135</v>
      </c>
      <c r="J8" t="s">
        <v>121</v>
      </c>
      <c r="K8" t="s">
        <v>112</v>
      </c>
      <c r="L8" t="s">
        <v>138</v>
      </c>
    </row>
    <row r="9" spans="1:12" x14ac:dyDescent="0.25">
      <c r="A9" t="s">
        <v>72</v>
      </c>
      <c r="B9" t="s">
        <v>142</v>
      </c>
      <c r="C9">
        <v>152</v>
      </c>
      <c r="D9" t="s">
        <v>109</v>
      </c>
      <c r="E9">
        <v>4</v>
      </c>
      <c r="F9" t="s">
        <v>138</v>
      </c>
      <c r="G9" t="s">
        <v>127</v>
      </c>
      <c r="H9" t="s">
        <v>121</v>
      </c>
      <c r="I9" t="s">
        <v>143</v>
      </c>
      <c r="J9" t="s">
        <v>113</v>
      </c>
      <c r="K9" t="s">
        <v>120</v>
      </c>
      <c r="L9" t="s">
        <v>130</v>
      </c>
    </row>
    <row r="10" spans="1:12" x14ac:dyDescent="0.25">
      <c r="A10" t="s">
        <v>81</v>
      </c>
      <c r="B10" t="s">
        <v>144</v>
      </c>
      <c r="C10">
        <v>194</v>
      </c>
      <c r="D10" t="s">
        <v>109</v>
      </c>
      <c r="E10">
        <v>8</v>
      </c>
      <c r="F10" t="s">
        <v>145</v>
      </c>
      <c r="G10" t="s">
        <v>114</v>
      </c>
      <c r="H10" t="s">
        <v>131</v>
      </c>
      <c r="I10" t="s">
        <v>112</v>
      </c>
      <c r="J10" t="s">
        <v>131</v>
      </c>
      <c r="K10" t="s">
        <v>112</v>
      </c>
      <c r="L10" t="s">
        <v>115</v>
      </c>
    </row>
    <row r="11" spans="1:12" x14ac:dyDescent="0.25">
      <c r="A11" t="s">
        <v>90</v>
      </c>
      <c r="B11" t="s">
        <v>146</v>
      </c>
      <c r="C11">
        <v>136</v>
      </c>
      <c r="D11" t="s">
        <v>109</v>
      </c>
      <c r="E11">
        <v>10</v>
      </c>
      <c r="F11" t="s">
        <v>145</v>
      </c>
      <c r="G11" t="s">
        <v>143</v>
      </c>
      <c r="H11" t="s">
        <v>127</v>
      </c>
      <c r="I11" t="s">
        <v>114</v>
      </c>
      <c r="J11" t="s">
        <v>113</v>
      </c>
      <c r="K11" t="s">
        <v>143</v>
      </c>
      <c r="L11" t="s">
        <v>128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workbookViewId="0">
      <selection activeCell="F9" sqref="F9"/>
    </sheetView>
  </sheetViews>
  <sheetFormatPr defaultRowHeight="15" x14ac:dyDescent="0.25"/>
  <cols>
    <col min="1" max="1" width="31.85546875" bestFit="1" customWidth="1"/>
    <col min="2" max="2" width="7.140625" bestFit="1" customWidth="1"/>
    <col min="3" max="3" width="12.7109375" bestFit="1" customWidth="1"/>
    <col min="5" max="5" width="7.85546875" bestFit="1" customWidth="1"/>
    <col min="6" max="6" width="8.42578125" bestFit="1" customWidth="1"/>
    <col min="7" max="7" width="15.5703125" bestFit="1" customWidth="1"/>
    <col min="8" max="8" width="10.7109375" bestFit="1" customWidth="1"/>
    <col min="9" max="9" width="16.140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</row>
    <row r="3" spans="1:9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</row>
    <row r="4" spans="1:9" x14ac:dyDescent="0.25">
      <c r="A4" t="s">
        <v>27</v>
      </c>
      <c r="B4" t="s">
        <v>28</v>
      </c>
      <c r="C4" t="s">
        <v>29</v>
      </c>
      <c r="D4" t="s">
        <v>30</v>
      </c>
      <c r="E4" t="s">
        <v>31</v>
      </c>
      <c r="F4" t="s">
        <v>32</v>
      </c>
      <c r="G4" t="s">
        <v>33</v>
      </c>
      <c r="H4" t="s">
        <v>34</v>
      </c>
      <c r="I4" t="s">
        <v>35</v>
      </c>
    </row>
    <row r="5" spans="1:9" x14ac:dyDescent="0.25">
      <c r="A5" t="s">
        <v>36</v>
      </c>
      <c r="B5" t="s">
        <v>37</v>
      </c>
      <c r="C5" t="s">
        <v>38</v>
      </c>
      <c r="D5" t="s">
        <v>39</v>
      </c>
      <c r="E5" t="s">
        <v>40</v>
      </c>
      <c r="F5" t="s">
        <v>41</v>
      </c>
      <c r="G5" t="s">
        <v>42</v>
      </c>
      <c r="H5" t="s">
        <v>43</v>
      </c>
      <c r="I5" t="s">
        <v>44</v>
      </c>
    </row>
    <row r="6" spans="1:9" x14ac:dyDescent="0.25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50</v>
      </c>
      <c r="G6" t="s">
        <v>51</v>
      </c>
      <c r="H6" t="s">
        <v>52</v>
      </c>
      <c r="I6" t="s">
        <v>53</v>
      </c>
    </row>
    <row r="7" spans="1:9" x14ac:dyDescent="0.25">
      <c r="A7" t="s">
        <v>54</v>
      </c>
      <c r="B7" t="s">
        <v>55</v>
      </c>
      <c r="C7" t="s">
        <v>56</v>
      </c>
      <c r="D7" t="s">
        <v>57</v>
      </c>
      <c r="E7" t="s">
        <v>58</v>
      </c>
      <c r="F7" t="s">
        <v>59</v>
      </c>
      <c r="G7" t="s">
        <v>60</v>
      </c>
      <c r="H7" t="s">
        <v>61</v>
      </c>
      <c r="I7" t="s">
        <v>62</v>
      </c>
    </row>
    <row r="8" spans="1:9" x14ac:dyDescent="0.25">
      <c r="A8" t="s">
        <v>63</v>
      </c>
      <c r="B8" t="s">
        <v>64</v>
      </c>
      <c r="C8" t="s">
        <v>65</v>
      </c>
      <c r="D8" t="s">
        <v>66</v>
      </c>
      <c r="E8" t="s">
        <v>67</v>
      </c>
      <c r="F8" t="s">
        <v>68</v>
      </c>
      <c r="G8" t="s">
        <v>69</v>
      </c>
      <c r="H8" t="s">
        <v>70</v>
      </c>
      <c r="I8" t="s">
        <v>71</v>
      </c>
    </row>
    <row r="9" spans="1:9" x14ac:dyDescent="0.25">
      <c r="A9" t="s">
        <v>72</v>
      </c>
      <c r="B9" t="s">
        <v>73</v>
      </c>
      <c r="C9" t="s">
        <v>74</v>
      </c>
      <c r="D9" t="s">
        <v>75</v>
      </c>
      <c r="E9" t="s">
        <v>76</v>
      </c>
      <c r="F9" t="s">
        <v>77</v>
      </c>
      <c r="G9" t="s">
        <v>78</v>
      </c>
      <c r="H9" t="s">
        <v>79</v>
      </c>
      <c r="I9" t="s">
        <v>80</v>
      </c>
    </row>
    <row r="10" spans="1:9" x14ac:dyDescent="0.25">
      <c r="A10" t="s">
        <v>81</v>
      </c>
      <c r="B10" t="s">
        <v>82</v>
      </c>
      <c r="C10" t="s">
        <v>83</v>
      </c>
      <c r="D10" t="s">
        <v>84</v>
      </c>
      <c r="E10" t="s">
        <v>85</v>
      </c>
      <c r="F10" t="s">
        <v>86</v>
      </c>
      <c r="G10" t="s">
        <v>87</v>
      </c>
      <c r="H10" t="s">
        <v>88</v>
      </c>
      <c r="I10" t="s">
        <v>89</v>
      </c>
    </row>
    <row r="11" spans="1:9" x14ac:dyDescent="0.25">
      <c r="A11" t="s">
        <v>90</v>
      </c>
      <c r="B11" t="s">
        <v>91</v>
      </c>
      <c r="C11" t="s">
        <v>92</v>
      </c>
      <c r="D11" t="s">
        <v>93</v>
      </c>
      <c r="E11" t="s">
        <v>94</v>
      </c>
      <c r="F11" t="s">
        <v>95</v>
      </c>
      <c r="G11" t="s">
        <v>96</v>
      </c>
      <c r="H11" t="s">
        <v>97</v>
      </c>
      <c r="I11" t="s">
        <v>98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"/>
  <sheetViews>
    <sheetView workbookViewId="0">
      <selection activeCell="B5" sqref="B5"/>
    </sheetView>
  </sheetViews>
  <sheetFormatPr defaultRowHeight="15" x14ac:dyDescent="0.25"/>
  <cols>
    <col min="1" max="1" width="31.85546875" bestFit="1" customWidth="1"/>
    <col min="2" max="2" width="13.5703125" bestFit="1" customWidth="1"/>
    <col min="3" max="3" width="15.85546875" bestFit="1" customWidth="1"/>
    <col min="4" max="4" width="16.140625" bestFit="1" customWidth="1"/>
    <col min="5" max="5" width="14.28515625" bestFit="1" customWidth="1"/>
    <col min="6" max="6" width="9.7109375" bestFit="1" customWidth="1"/>
    <col min="7" max="7" width="16.42578125" bestFit="1" customWidth="1"/>
    <col min="8" max="8" width="30" bestFit="1" customWidth="1"/>
    <col min="9" max="9" width="31.42578125" bestFit="1" customWidth="1"/>
  </cols>
  <sheetData>
    <row r="1" spans="1:9" x14ac:dyDescent="0.25">
      <c r="A1" t="s">
        <v>147</v>
      </c>
      <c r="B1" t="s">
        <v>100</v>
      </c>
      <c r="C1" t="s">
        <v>174</v>
      </c>
      <c r="D1" t="s">
        <v>175</v>
      </c>
      <c r="E1" t="s">
        <v>176</v>
      </c>
      <c r="F1" t="s">
        <v>177</v>
      </c>
      <c r="G1" t="s">
        <v>148</v>
      </c>
      <c r="H1" t="s">
        <v>149</v>
      </c>
      <c r="I1" t="s">
        <v>150</v>
      </c>
    </row>
    <row r="2" spans="1:9" x14ac:dyDescent="0.25">
      <c r="A2" t="s">
        <v>9</v>
      </c>
      <c r="B2">
        <v>55</v>
      </c>
      <c r="C2" t="s">
        <v>141</v>
      </c>
      <c r="D2" t="s">
        <v>141</v>
      </c>
      <c r="E2" t="s">
        <v>134</v>
      </c>
      <c r="F2" t="s">
        <v>151</v>
      </c>
      <c r="G2" t="s">
        <v>112</v>
      </c>
      <c r="H2" t="s">
        <v>152</v>
      </c>
      <c r="I2" t="s">
        <v>153</v>
      </c>
    </row>
    <row r="3" spans="1:9" x14ac:dyDescent="0.25">
      <c r="A3" t="s">
        <v>18</v>
      </c>
      <c r="B3">
        <v>87</v>
      </c>
      <c r="C3" t="s">
        <v>111</v>
      </c>
      <c r="D3" t="s">
        <v>120</v>
      </c>
      <c r="E3" t="s">
        <v>127</v>
      </c>
      <c r="F3" t="s">
        <v>114</v>
      </c>
      <c r="G3" t="s">
        <v>134</v>
      </c>
      <c r="H3" t="s">
        <v>154</v>
      </c>
      <c r="I3" t="s">
        <v>155</v>
      </c>
    </row>
    <row r="4" spans="1:9" x14ac:dyDescent="0.25">
      <c r="A4" t="s">
        <v>27</v>
      </c>
      <c r="B4">
        <v>115</v>
      </c>
      <c r="C4" t="s">
        <v>121</v>
      </c>
      <c r="D4" t="s">
        <v>112</v>
      </c>
      <c r="E4" t="s">
        <v>134</v>
      </c>
      <c r="F4" t="s">
        <v>156</v>
      </c>
      <c r="G4" t="s">
        <v>151</v>
      </c>
      <c r="H4" t="s">
        <v>157</v>
      </c>
      <c r="I4" t="s">
        <v>158</v>
      </c>
    </row>
    <row r="5" spans="1:9" x14ac:dyDescent="0.25">
      <c r="A5" t="s">
        <v>36</v>
      </c>
      <c r="B5">
        <v>114</v>
      </c>
      <c r="C5" t="s">
        <v>134</v>
      </c>
      <c r="D5" t="s">
        <v>114</v>
      </c>
      <c r="E5" t="s">
        <v>141</v>
      </c>
      <c r="F5" t="s">
        <v>112</v>
      </c>
      <c r="G5" t="s">
        <v>159</v>
      </c>
      <c r="H5" t="s">
        <v>160</v>
      </c>
      <c r="I5" t="s">
        <v>161</v>
      </c>
    </row>
    <row r="6" spans="1:9" x14ac:dyDescent="0.25">
      <c r="A6" t="s">
        <v>45</v>
      </c>
      <c r="B6">
        <v>153</v>
      </c>
      <c r="C6" t="s">
        <v>143</v>
      </c>
      <c r="D6" t="s">
        <v>121</v>
      </c>
      <c r="E6" t="s">
        <v>134</v>
      </c>
      <c r="F6" t="s">
        <v>135</v>
      </c>
      <c r="G6" t="s">
        <v>162</v>
      </c>
      <c r="H6" t="s">
        <v>51</v>
      </c>
      <c r="I6" t="s">
        <v>163</v>
      </c>
    </row>
    <row r="7" spans="1:9" x14ac:dyDescent="0.25">
      <c r="A7" t="s">
        <v>54</v>
      </c>
      <c r="B7">
        <v>117</v>
      </c>
      <c r="C7" t="s">
        <v>135</v>
      </c>
      <c r="D7" t="s">
        <v>112</v>
      </c>
      <c r="E7" t="s">
        <v>120</v>
      </c>
      <c r="F7" t="s">
        <v>143</v>
      </c>
      <c r="G7" t="s">
        <v>114</v>
      </c>
      <c r="H7" t="s">
        <v>164</v>
      </c>
      <c r="I7" t="s">
        <v>165</v>
      </c>
    </row>
    <row r="8" spans="1:9" x14ac:dyDescent="0.25">
      <c r="A8" t="s">
        <v>63</v>
      </c>
      <c r="B8">
        <v>58</v>
      </c>
      <c r="C8" t="s">
        <v>143</v>
      </c>
      <c r="D8" t="s">
        <v>120</v>
      </c>
      <c r="E8" t="s">
        <v>135</v>
      </c>
      <c r="F8" t="s">
        <v>134</v>
      </c>
      <c r="G8" t="s">
        <v>121</v>
      </c>
      <c r="H8" t="s">
        <v>166</v>
      </c>
      <c r="I8" t="s">
        <v>167</v>
      </c>
    </row>
    <row r="9" spans="1:9" x14ac:dyDescent="0.25">
      <c r="A9" t="s">
        <v>72</v>
      </c>
      <c r="B9">
        <v>175</v>
      </c>
      <c r="C9" t="s">
        <v>111</v>
      </c>
      <c r="D9" t="s">
        <v>143</v>
      </c>
      <c r="E9" t="s">
        <v>143</v>
      </c>
      <c r="F9" t="s">
        <v>114</v>
      </c>
      <c r="G9" t="s">
        <v>134</v>
      </c>
      <c r="H9" t="s">
        <v>168</v>
      </c>
      <c r="I9" t="s">
        <v>21</v>
      </c>
    </row>
    <row r="10" spans="1:9" x14ac:dyDescent="0.25">
      <c r="A10" t="s">
        <v>81</v>
      </c>
      <c r="B10">
        <v>116</v>
      </c>
      <c r="C10" t="s">
        <v>143</v>
      </c>
      <c r="D10" t="s">
        <v>120</v>
      </c>
      <c r="E10" t="s">
        <v>127</v>
      </c>
      <c r="F10" t="s">
        <v>126</v>
      </c>
      <c r="G10" t="s">
        <v>169</v>
      </c>
      <c r="H10" t="s">
        <v>170</v>
      </c>
      <c r="I10" t="s">
        <v>171</v>
      </c>
    </row>
    <row r="11" spans="1:9" x14ac:dyDescent="0.25">
      <c r="A11" t="s">
        <v>90</v>
      </c>
      <c r="B11">
        <v>113</v>
      </c>
      <c r="C11" t="s">
        <v>120</v>
      </c>
      <c r="D11" t="s">
        <v>135</v>
      </c>
      <c r="E11" t="s">
        <v>143</v>
      </c>
      <c r="F11" t="s">
        <v>135</v>
      </c>
      <c r="G11" t="s">
        <v>135</v>
      </c>
      <c r="H11" t="s">
        <v>172</v>
      </c>
      <c r="I11" t="s">
        <v>173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"/>
  <sheetViews>
    <sheetView topLeftCell="C1" workbookViewId="0">
      <selection activeCell="G10" sqref="G10"/>
    </sheetView>
  </sheetViews>
  <sheetFormatPr defaultRowHeight="15" x14ac:dyDescent="0.25"/>
  <cols>
    <col min="1" max="1" width="31.85546875" bestFit="1" customWidth="1"/>
    <col min="2" max="3" width="39.7109375" bestFit="1" customWidth="1"/>
    <col min="4" max="5" width="24.42578125" bestFit="1" customWidth="1"/>
    <col min="6" max="7" width="28" bestFit="1" customWidth="1"/>
    <col min="8" max="8" width="16.7109375" bestFit="1" customWidth="1"/>
    <col min="10" max="10" width="14.28515625" bestFit="1" customWidth="1"/>
    <col min="12" max="12" width="20" bestFit="1" customWidth="1"/>
  </cols>
  <sheetData>
    <row r="1" spans="1:11" ht="18.75" x14ac:dyDescent="0.4">
      <c r="A1" s="1" t="s">
        <v>192</v>
      </c>
      <c r="B1" s="1" t="s">
        <v>178</v>
      </c>
      <c r="C1" s="1" t="s">
        <v>179</v>
      </c>
      <c r="D1" s="1" t="s">
        <v>180</v>
      </c>
      <c r="E1" s="1" t="s">
        <v>181</v>
      </c>
      <c r="F1" s="1" t="s">
        <v>182</v>
      </c>
      <c r="G1" s="1" t="s">
        <v>183</v>
      </c>
      <c r="H1" s="1"/>
      <c r="K1" t="s">
        <v>184</v>
      </c>
    </row>
    <row r="2" spans="1:11" x14ac:dyDescent="0.25">
      <c r="A2" t="str">
        <f>break!A2:A11</f>
        <v>Mumbai_Abdul Hamid (1008514)</v>
      </c>
      <c r="B2" t="str">
        <f>MID(A2,FIND("_",A2,1)+1,FIND("(",A2,1)-FIND("_",A2,1)-2)</f>
        <v>Abdul Hamid</v>
      </c>
      <c r="C2" s="2">
        <f t="shared" ref="C2:C11" si="0">TIMEVALUE(VLOOKUP(A2,EDATA,2,0))</f>
        <v>0.28568287037037038</v>
      </c>
      <c r="D2" s="3" t="str">
        <f t="shared" ref="D2:D11" si="1">(VLOOKUP(A2,EDATA,4,0))</f>
        <v>76%</v>
      </c>
      <c r="E2" s="2">
        <f t="shared" ref="E2:E11" si="2">TIMEVALUE(VLOOKUP(A2,break,9,0))</f>
        <v>0.10281250000000001</v>
      </c>
      <c r="F2" s="4">
        <f t="shared" ref="F2:F11" si="3">VLOOKUP(A2,performance,2,0)</f>
        <v>55</v>
      </c>
      <c r="G2">
        <f t="shared" ref="G2:G11" si="4">VLOOKUP(A2,EDATA,5,0)</f>
        <v>1</v>
      </c>
    </row>
    <row r="3" spans="1:11" x14ac:dyDescent="0.25">
      <c r="A3" t="str">
        <f>break!A3:A12</f>
        <v>Delhi_Sara Khan (1008515)</v>
      </c>
      <c r="B3" t="str">
        <f t="shared" ref="B3:B11" si="5">MID(A3,FIND("_",A3,1)+1,FIND("(",A3,1)-FIND("_",A3,1)-2)</f>
        <v>Sara Khan</v>
      </c>
      <c r="C3" s="2">
        <f t="shared" si="0"/>
        <v>0.33465277777777774</v>
      </c>
      <c r="D3" s="3" t="str">
        <f t="shared" si="1"/>
        <v>76%</v>
      </c>
      <c r="E3" s="2">
        <f t="shared" si="2"/>
        <v>9.3796296296296308E-2</v>
      </c>
      <c r="F3" s="4">
        <f t="shared" si="3"/>
        <v>87</v>
      </c>
      <c r="G3">
        <f t="shared" si="4"/>
        <v>2</v>
      </c>
    </row>
    <row r="4" spans="1:11" x14ac:dyDescent="0.25">
      <c r="A4" t="str">
        <f>break!A4:A13</f>
        <v>Karachi_Ali Raza (1008516)</v>
      </c>
      <c r="B4" t="str">
        <f t="shared" si="5"/>
        <v>Ali Raza</v>
      </c>
      <c r="C4" s="2">
        <f t="shared" si="0"/>
        <v>0.30078703703703702</v>
      </c>
      <c r="D4" s="3" t="str">
        <f t="shared" si="1"/>
        <v>76%</v>
      </c>
      <c r="E4" s="2">
        <f t="shared" si="2"/>
        <v>9.2905092592592595E-2</v>
      </c>
      <c r="F4" s="4">
        <f t="shared" si="3"/>
        <v>115</v>
      </c>
      <c r="G4">
        <f t="shared" si="4"/>
        <v>3</v>
      </c>
    </row>
    <row r="5" spans="1:11" x14ac:dyDescent="0.25">
      <c r="A5" t="str">
        <f>break!A5:A14</f>
        <v>Lahore_Ayesha Noor (1008517)</v>
      </c>
      <c r="B5" t="str">
        <f t="shared" si="5"/>
        <v>Ayesha Noor</v>
      </c>
      <c r="C5" s="2">
        <f t="shared" si="0"/>
        <v>0.37247685185185181</v>
      </c>
      <c r="D5" s="3" t="str">
        <f t="shared" si="1"/>
        <v>76%</v>
      </c>
      <c r="E5" s="2">
        <f t="shared" si="2"/>
        <v>7.7731481481481471E-2</v>
      </c>
      <c r="F5" s="4">
        <f t="shared" si="3"/>
        <v>114</v>
      </c>
      <c r="G5">
        <f t="shared" si="4"/>
        <v>4</v>
      </c>
    </row>
    <row r="6" spans="1:11" x14ac:dyDescent="0.25">
      <c r="A6" t="str">
        <f>break!A6:A15</f>
        <v>Islamabad_Umar Farooq (1008518)</v>
      </c>
      <c r="B6" t="str">
        <f t="shared" si="5"/>
        <v>Umar Farooq</v>
      </c>
      <c r="C6" s="2">
        <f t="shared" si="0"/>
        <v>0.33055555555555555</v>
      </c>
      <c r="D6" s="3" t="str">
        <f t="shared" si="1"/>
        <v>76%</v>
      </c>
      <c r="E6" s="2">
        <f t="shared" si="2"/>
        <v>9.0949074074074085E-2</v>
      </c>
      <c r="F6" s="4">
        <f t="shared" si="3"/>
        <v>153</v>
      </c>
      <c r="G6">
        <f t="shared" si="4"/>
        <v>5</v>
      </c>
    </row>
    <row r="7" spans="1:11" x14ac:dyDescent="0.25">
      <c r="A7" t="str">
        <f>break!A7:A16</f>
        <v>Chennai_Rahul Das (1008519)</v>
      </c>
      <c r="B7" t="str">
        <f t="shared" si="5"/>
        <v>Rahul Das</v>
      </c>
      <c r="C7" s="2">
        <f t="shared" si="0"/>
        <v>0.36922453703703706</v>
      </c>
      <c r="D7" s="3" t="str">
        <f t="shared" si="1"/>
        <v>76%</v>
      </c>
      <c r="E7" s="2">
        <f t="shared" si="2"/>
        <v>8.6932870370370383E-2</v>
      </c>
      <c r="F7" s="4">
        <f t="shared" si="3"/>
        <v>117</v>
      </c>
      <c r="G7">
        <f t="shared" si="4"/>
        <v>7</v>
      </c>
    </row>
    <row r="8" spans="1:11" x14ac:dyDescent="0.25">
      <c r="A8" t="str">
        <f>break!A8:A17</f>
        <v>Hyderabad_Fatima Ali (1008520)</v>
      </c>
      <c r="B8" t="str">
        <f t="shared" si="5"/>
        <v>Fatima Ali</v>
      </c>
      <c r="C8" s="2">
        <f t="shared" si="0"/>
        <v>0.35979166666666668</v>
      </c>
      <c r="D8" s="3" t="str">
        <f t="shared" si="1"/>
        <v>76%</v>
      </c>
      <c r="E8" s="2">
        <f t="shared" si="2"/>
        <v>7.7581018518518521E-2</v>
      </c>
      <c r="F8" s="4">
        <f t="shared" si="3"/>
        <v>58</v>
      </c>
      <c r="G8">
        <f t="shared" si="4"/>
        <v>6</v>
      </c>
    </row>
    <row r="9" spans="1:11" x14ac:dyDescent="0.25">
      <c r="A9" t="str">
        <f>break!A9:A18</f>
        <v>Pune_Arjun Mehta (1008521)</v>
      </c>
      <c r="B9" t="str">
        <f t="shared" si="5"/>
        <v>Arjun Mehta</v>
      </c>
      <c r="C9" s="2">
        <f t="shared" si="0"/>
        <v>0.33896990740740746</v>
      </c>
      <c r="D9" s="3" t="str">
        <f t="shared" si="1"/>
        <v>76%</v>
      </c>
      <c r="E9" s="2">
        <f t="shared" si="2"/>
        <v>9.0902777777777777E-2</v>
      </c>
      <c r="F9" s="4">
        <f t="shared" si="3"/>
        <v>175</v>
      </c>
      <c r="G9">
        <f t="shared" si="4"/>
        <v>4</v>
      </c>
    </row>
    <row r="10" spans="1:11" x14ac:dyDescent="0.25">
      <c r="A10" t="str">
        <f>break!A10:A19</f>
        <v>Bangalore_Zoya Ahmed (1008522)</v>
      </c>
      <c r="B10" t="str">
        <f t="shared" si="5"/>
        <v>Zoya Ahmed</v>
      </c>
      <c r="C10" s="2">
        <f t="shared" si="0"/>
        <v>0.25496527777777778</v>
      </c>
      <c r="D10" s="3" t="str">
        <f t="shared" si="1"/>
        <v>76%</v>
      </c>
      <c r="E10" s="2">
        <f t="shared" si="2"/>
        <v>9.4710648148148155E-2</v>
      </c>
      <c r="F10" s="4">
        <f t="shared" si="3"/>
        <v>116</v>
      </c>
      <c r="G10">
        <f t="shared" si="4"/>
        <v>8</v>
      </c>
    </row>
    <row r="11" spans="1:11" x14ac:dyDescent="0.25">
      <c r="A11" t="str">
        <f>break!A11:A20</f>
        <v>Kolkata_Irfan Malik (1008523)</v>
      </c>
      <c r="B11" t="str">
        <f t="shared" si="5"/>
        <v>Irfan Malik</v>
      </c>
      <c r="C11" s="2">
        <f t="shared" si="0"/>
        <v>0.34709490740740739</v>
      </c>
      <c r="D11" s="3" t="str">
        <f t="shared" si="1"/>
        <v>76%</v>
      </c>
      <c r="E11" s="2">
        <f t="shared" si="2"/>
        <v>8.2037037037037033E-2</v>
      </c>
      <c r="F11" s="4">
        <f t="shared" si="3"/>
        <v>113</v>
      </c>
      <c r="G11">
        <f t="shared" si="4"/>
        <v>10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9"/>
  <sheetViews>
    <sheetView tabSelected="1" workbookViewId="0">
      <selection activeCell="H16" sqref="H16"/>
    </sheetView>
  </sheetViews>
  <sheetFormatPr defaultRowHeight="15" x14ac:dyDescent="0.25"/>
  <cols>
    <col min="1" max="1" width="13.140625" customWidth="1"/>
    <col min="2" max="2" width="33.42578125" customWidth="1"/>
    <col min="3" max="3" width="9.140625" customWidth="1"/>
    <col min="4" max="4" width="14.28515625" customWidth="1"/>
    <col min="5" max="5" width="34.85546875" customWidth="1"/>
  </cols>
  <sheetData>
    <row r="1" spans="1:6" x14ac:dyDescent="0.25">
      <c r="A1" s="9"/>
      <c r="B1" s="9"/>
      <c r="C1" s="7">
        <v>5</v>
      </c>
      <c r="D1" s="9"/>
      <c r="E1" s="9"/>
      <c r="F1" s="7">
        <v>5</v>
      </c>
    </row>
    <row r="2" spans="1:6" x14ac:dyDescent="0.25">
      <c r="A2" s="9"/>
      <c r="B2" s="9"/>
      <c r="C2" s="11">
        <v>5</v>
      </c>
      <c r="D2" s="9"/>
      <c r="E2" s="9"/>
    </row>
    <row r="3" spans="1:6" x14ac:dyDescent="0.25">
      <c r="A3" s="8" t="s">
        <v>194</v>
      </c>
      <c r="B3" s="8"/>
      <c r="D3" s="8" t="s">
        <v>194</v>
      </c>
      <c r="E3" s="8"/>
    </row>
    <row r="4" spans="1:6" x14ac:dyDescent="0.25">
      <c r="A4" s="5" t="s">
        <v>186</v>
      </c>
      <c r="B4" t="s">
        <v>193</v>
      </c>
      <c r="D4" s="5" t="s">
        <v>186</v>
      </c>
      <c r="E4" t="s">
        <v>197</v>
      </c>
    </row>
    <row r="5" spans="1:6" x14ac:dyDescent="0.25">
      <c r="A5" s="6" t="s">
        <v>191</v>
      </c>
      <c r="B5" s="2">
        <v>0.33896990740740746</v>
      </c>
      <c r="D5" s="6" t="s">
        <v>188</v>
      </c>
      <c r="E5" s="10">
        <v>6</v>
      </c>
    </row>
    <row r="6" spans="1:6" x14ac:dyDescent="0.25">
      <c r="A6" s="6" t="s">
        <v>190</v>
      </c>
      <c r="B6" s="2">
        <v>0.37247685185185181</v>
      </c>
      <c r="D6" s="6" t="s">
        <v>189</v>
      </c>
      <c r="E6" s="10">
        <v>10</v>
      </c>
    </row>
    <row r="7" spans="1:6" x14ac:dyDescent="0.25">
      <c r="A7" s="6" t="s">
        <v>188</v>
      </c>
      <c r="B7" s="2">
        <v>0.35979166666666668</v>
      </c>
      <c r="D7" s="6" t="s">
        <v>187</v>
      </c>
      <c r="E7" s="10">
        <v>7</v>
      </c>
    </row>
    <row r="8" spans="1:6" x14ac:dyDescent="0.25">
      <c r="A8" s="6" t="s">
        <v>189</v>
      </c>
      <c r="B8" s="2">
        <v>0.34709490740740739</v>
      </c>
      <c r="D8" s="6" t="s">
        <v>195</v>
      </c>
      <c r="E8" s="10">
        <v>5</v>
      </c>
    </row>
    <row r="9" spans="1:6" x14ac:dyDescent="0.25">
      <c r="A9" s="6" t="s">
        <v>187</v>
      </c>
      <c r="B9" s="2">
        <v>0.36922453703703706</v>
      </c>
      <c r="D9" s="6" t="s">
        <v>196</v>
      </c>
      <c r="E9" s="10">
        <v>8</v>
      </c>
    </row>
  </sheetData>
  <mergeCells count="4">
    <mergeCell ref="A3:B3"/>
    <mergeCell ref="A1:B2"/>
    <mergeCell ref="D3:E3"/>
    <mergeCell ref="D1:E2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1</xdr:col>
                    <xdr:colOff>952500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Spinner 2">
              <controlPr defaultSize="0" autoPict="0" macro="[0]!Spinner1_Code">
                <anchor moveWithCells="1" sizeWithCells="1">
                  <from>
                    <xdr:col>1</xdr:col>
                    <xdr:colOff>2076450</xdr:colOff>
                    <xdr:row>9</xdr:row>
                    <xdr:rowOff>47625</xdr:rowOff>
                  </from>
                  <to>
                    <xdr:col>1</xdr:col>
                    <xdr:colOff>2200275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Spinner 3">
              <controlPr defaultSize="0" autoPict="0" macro="[0]!Spinner3_code">
                <anchor moveWithCells="1" sizeWithCells="1">
                  <from>
                    <xdr:col>4</xdr:col>
                    <xdr:colOff>838200</xdr:colOff>
                    <xdr:row>0</xdr:row>
                    <xdr:rowOff>85725</xdr:rowOff>
                  </from>
                  <to>
                    <xdr:col>4</xdr:col>
                    <xdr:colOff>1133475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9" name="Spinner 5">
              <controlPr defaultSize="0" autoPict="0" macro="[0]!Spinner3_code">
                <anchor moveWithCells="1" sizeWithCells="1">
                  <from>
                    <xdr:col>4</xdr:col>
                    <xdr:colOff>2133600</xdr:colOff>
                    <xdr:row>9</xdr:row>
                    <xdr:rowOff>28575</xdr:rowOff>
                  </from>
                  <to>
                    <xdr:col>5</xdr:col>
                    <xdr:colOff>104775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efficiency</vt:lpstr>
      <vt:lpstr>break</vt:lpstr>
      <vt:lpstr>overall performance</vt:lpstr>
      <vt:lpstr>summary</vt:lpstr>
      <vt:lpstr>dashboard</vt:lpstr>
      <vt:lpstr>break</vt:lpstr>
      <vt:lpstr>EDATA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Ahsan Ali</cp:lastModifiedBy>
  <dcterms:created xsi:type="dcterms:W3CDTF">2026-03-01T05:47:00Z</dcterms:created>
  <dcterms:modified xsi:type="dcterms:W3CDTF">2026-03-02T06:53:28Z</dcterms:modified>
</cp:coreProperties>
</file>